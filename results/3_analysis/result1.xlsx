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_Tonda\Skola\Bakalarka\_final\data\3_results\"/>
    </mc:Choice>
  </mc:AlternateContent>
  <xr:revisionPtr revIDLastSave="0" documentId="8_{A56B507D-B4EF-4DF5-BDB0-60D5DD036E42}" xr6:coauthVersionLast="47" xr6:coauthVersionMax="47" xr10:uidLastSave="{00000000-0000-0000-0000-000000000000}"/>
  <bookViews>
    <workbookView xWindow="-110" yWindow="-110" windowWidth="29020" windowHeight="17500" activeTab="1" xr2:uid="{66A50254-C398-4D44-90FA-F3FD9E7BB9F5}"/>
  </bookViews>
  <sheets>
    <sheet name="List1" sheetId="1" r:id="rId1"/>
    <sheet name="result" sheetId="2" r:id="rId2"/>
    <sheet name="List3" sheetId="3" r:id="rId3"/>
  </sheets>
  <definedNames>
    <definedName name="_xlnm._FilterDatabase" localSheetId="1" hidden="1">result!$A$1:$K$1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9" i="1"/>
  <c r="D11" i="1"/>
  <c r="D10" i="1"/>
  <c r="E9" i="1"/>
  <c r="D9" i="1"/>
  <c r="F3" i="1"/>
  <c r="F4" i="1"/>
  <c r="F2" i="1"/>
  <c r="D3" i="1"/>
  <c r="D4" i="1"/>
  <c r="D2" i="1"/>
  <c r="E2" i="1"/>
</calcChain>
</file>

<file path=xl/sharedStrings.xml><?xml version="1.0" encoding="utf-8"?>
<sst xmlns="http://schemas.openxmlformats.org/spreadsheetml/2006/main" count="96" uniqueCount="89">
  <si>
    <t>Files</t>
  </si>
  <si>
    <t>Size per file</t>
  </si>
  <si>
    <t>Size MB</t>
  </si>
  <si>
    <t>Raw</t>
  </si>
  <si>
    <t>Aggregated</t>
  </si>
  <si>
    <t>Truncated</t>
  </si>
  <si>
    <t>language</t>
  </si>
  <si>
    <t>original_distinct_words</t>
  </si>
  <si>
    <t>original_total_frequency</t>
  </si>
  <si>
    <t>word_count</t>
  </si>
  <si>
    <t>total_frequency</t>
  </si>
  <si>
    <t>avg_word_length</t>
  </si>
  <si>
    <t>avg_word_length_weighted</t>
  </si>
  <si>
    <t>frequency_entropy</t>
  </si>
  <si>
    <t>frequency_perplexity</t>
  </si>
  <si>
    <t>Abkhazian</t>
  </si>
  <si>
    <t>Achinese</t>
  </si>
  <si>
    <t>Acoli</t>
  </si>
  <si>
    <t>Afrikaans</t>
  </si>
  <si>
    <t>Assyrian Neo-Aramaic</t>
  </si>
  <si>
    <t>Akan</t>
  </si>
  <si>
    <t>Amharic</t>
  </si>
  <si>
    <t>Anaang</t>
  </si>
  <si>
    <t>Arabic</t>
  </si>
  <si>
    <t>Aragonese</t>
  </si>
  <si>
    <t>Egyptian Arabic</t>
  </si>
  <si>
    <t>Assamese</t>
  </si>
  <si>
    <t>Avaric</t>
  </si>
  <si>
    <t>Aymara</t>
  </si>
  <si>
    <t>Azerbaijani</t>
  </si>
  <si>
    <t>Bashkir</t>
  </si>
  <si>
    <t>Bambara</t>
  </si>
  <si>
    <t>Balinese</t>
  </si>
  <si>
    <t>Bavarian</t>
  </si>
  <si>
    <t>Central Bicolano</t>
  </si>
  <si>
    <t>Belarusian</t>
  </si>
  <si>
    <t>Bengali</t>
  </si>
  <si>
    <t>Bikol</t>
  </si>
  <si>
    <t>Bislama</t>
  </si>
  <si>
    <t>Banjar</t>
  </si>
  <si>
    <t>Bosnian</t>
  </si>
  <si>
    <t>Bishnupriya</t>
  </si>
  <si>
    <t>Breton</t>
  </si>
  <si>
    <t>Buriat</t>
  </si>
  <si>
    <t>Buginese</t>
  </si>
  <si>
    <t>Bulgarian</t>
  </si>
  <si>
    <t>Catalan</t>
  </si>
  <si>
    <t>Chavacano</t>
  </si>
  <si>
    <t>Cebuano</t>
  </si>
  <si>
    <t>Czech</t>
  </si>
  <si>
    <t>Chamorro</t>
  </si>
  <si>
    <t>Chechen</t>
  </si>
  <si>
    <t>Cherokee</t>
  </si>
  <si>
    <t>Chuvash</t>
  </si>
  <si>
    <t>Central Kurdish</t>
  </si>
  <si>
    <t>Cornish</t>
  </si>
  <si>
    <t>Corsican</t>
  </si>
  <si>
    <t>Crimean Turkish</t>
  </si>
  <si>
    <t>Danish</t>
  </si>
  <si>
    <t>German</t>
  </si>
  <si>
    <t>Dimli</t>
  </si>
  <si>
    <t>Emiliano-Romagnolo</t>
  </si>
  <si>
    <t>English</t>
  </si>
  <si>
    <t>Esperanto</t>
  </si>
  <si>
    <t>Estonian</t>
  </si>
  <si>
    <t>Basque</t>
  </si>
  <si>
    <t>Ewe</t>
  </si>
  <si>
    <t>Extremaduran</t>
  </si>
  <si>
    <t>Faroese</t>
  </si>
  <si>
    <t>Fijian</t>
  </si>
  <si>
    <t>Finnish</t>
  </si>
  <si>
    <t>French</t>
  </si>
  <si>
    <t>Fiji Hindi</t>
  </si>
  <si>
    <t>Croatian</t>
  </si>
  <si>
    <t>Armenian</t>
  </si>
  <si>
    <t>Central Khmer</t>
  </si>
  <si>
    <t>Eastern Mari</t>
  </si>
  <si>
    <t>Burmese</t>
  </si>
  <si>
    <t>Erzya</t>
  </si>
  <si>
    <t>Classical Nahuatl</t>
  </si>
  <si>
    <t>Dutch</t>
  </si>
  <si>
    <t>Polish</t>
  </si>
  <si>
    <t>Dari</t>
  </si>
  <si>
    <t>Slovak</t>
  </si>
  <si>
    <t>Albanian</t>
  </si>
  <si>
    <t>Eastern Yiddish</t>
  </si>
  <si>
    <t>Zulu</t>
  </si>
  <si>
    <t>cutoff_word_pct</t>
  </si>
  <si>
    <t>ttr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</si>
</sst>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9482E-3ABA-4A55-9312-4CE4B68B9D0B}">
  <dimension ref="A1:F11"/>
  <sheetViews>
    <sheetView workbookViewId="0">
      <selection activeCell="F9" sqref="F9"/>
    </sheetView>
  </sheetViews>
  <sheetFormatPr defaultRowHeight="15" x14ac:dyDescent="0.25"/>
  <cols>
    <col min="1" max="1" width="10.7109375" bestFit="1" customWidth="1"/>
    <col min="4" max="6" width="12" bestFit="1" customWidth="1"/>
  </cols>
  <sheetData>
    <row r="1" spans="1:6" x14ac:dyDescent="0.25">
      <c r="B1" t="s">
        <v>0</v>
      </c>
      <c r="C1" t="s">
        <v>2</v>
      </c>
      <c r="D1" t="s">
        <v>1</v>
      </c>
      <c r="E1">
        <v>1000</v>
      </c>
    </row>
    <row r="2" spans="1:6" x14ac:dyDescent="0.25">
      <c r="A2" t="s">
        <v>3</v>
      </c>
      <c r="B2">
        <v>79</v>
      </c>
      <c r="C2">
        <v>290</v>
      </c>
      <c r="D2">
        <f>C2/B2</f>
        <v>3.6708860759493671</v>
      </c>
      <c r="E2">
        <f>E1/B2</f>
        <v>12.658227848101266</v>
      </c>
      <c r="F2">
        <f>C2*$E$2</f>
        <v>3670.8860759493673</v>
      </c>
    </row>
    <row r="3" spans="1:6" x14ac:dyDescent="0.25">
      <c r="A3" t="s">
        <v>4</v>
      </c>
      <c r="B3">
        <v>28</v>
      </c>
      <c r="C3">
        <v>146</v>
      </c>
      <c r="D3">
        <f t="shared" ref="D3:D4" si="0">C3/B3</f>
        <v>5.2142857142857144</v>
      </c>
      <c r="F3">
        <f t="shared" ref="F3:F4" si="1">C3*$E$2</f>
        <v>1848.1012658227849</v>
      </c>
    </row>
    <row r="4" spans="1:6" x14ac:dyDescent="0.25">
      <c r="A4" t="s">
        <v>5</v>
      </c>
      <c r="B4">
        <v>28</v>
      </c>
      <c r="C4">
        <v>9.85</v>
      </c>
      <c r="D4">
        <f t="shared" si="0"/>
        <v>0.35178571428571426</v>
      </c>
      <c r="F4">
        <f t="shared" si="1"/>
        <v>124.68354430379746</v>
      </c>
    </row>
    <row r="8" spans="1:6" x14ac:dyDescent="0.25">
      <c r="B8" t="s">
        <v>0</v>
      </c>
      <c r="C8" t="s">
        <v>2</v>
      </c>
      <c r="D8" t="s">
        <v>1</v>
      </c>
      <c r="E8">
        <v>1000</v>
      </c>
    </row>
    <row r="9" spans="1:6" x14ac:dyDescent="0.25">
      <c r="A9" t="s">
        <v>3</v>
      </c>
      <c r="B9">
        <v>276</v>
      </c>
      <c r="C9">
        <v>787</v>
      </c>
      <c r="D9">
        <f>C9/B9</f>
        <v>2.8514492753623188</v>
      </c>
      <c r="E9">
        <f>E8/B9</f>
        <v>3.6231884057971016</v>
      </c>
      <c r="F9">
        <f>C9*$E$9</f>
        <v>2851.449275362319</v>
      </c>
    </row>
    <row r="10" spans="1:6" x14ac:dyDescent="0.25">
      <c r="A10" t="s">
        <v>4</v>
      </c>
      <c r="B10">
        <v>73</v>
      </c>
      <c r="C10">
        <v>310</v>
      </c>
      <c r="D10">
        <f t="shared" ref="D10:D11" si="2">C10/B10</f>
        <v>4.2465753424657535</v>
      </c>
      <c r="F10">
        <f t="shared" ref="F10:F11" si="3">C10*$E$9</f>
        <v>1123.1884057971015</v>
      </c>
    </row>
    <row r="11" spans="1:6" x14ac:dyDescent="0.25">
      <c r="A11" t="s">
        <v>5</v>
      </c>
      <c r="B11">
        <v>73</v>
      </c>
      <c r="C11">
        <v>31.8</v>
      </c>
      <c r="D11">
        <f t="shared" si="2"/>
        <v>0.43561643835616437</v>
      </c>
      <c r="F11">
        <f t="shared" si="3"/>
        <v>115.21739130434783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57250-107B-478B-9476-596E9E6886CF}">
  <dimension ref="A1:K74"/>
  <sheetViews>
    <sheetView tabSelected="1" workbookViewId="0">
      <selection activeCell="H12" sqref="H12"/>
    </sheetView>
  </sheetViews>
  <sheetFormatPr defaultRowHeight="15" x14ac:dyDescent="0.25"/>
  <cols>
    <col min="1" max="1" width="21" bestFit="1" customWidth="1"/>
    <col min="2" max="2" width="24.28515625" bestFit="1" customWidth="1"/>
    <col min="3" max="3" width="24.85546875" bestFit="1" customWidth="1"/>
    <col min="4" max="4" width="13.5703125" bestFit="1" customWidth="1"/>
    <col min="5" max="5" width="16.85546875" bestFit="1" customWidth="1"/>
    <col min="6" max="6" width="14.5703125" bestFit="1" customWidth="1"/>
    <col min="7" max="7" width="27" bestFit="1" customWidth="1"/>
    <col min="8" max="8" width="19.5703125" bestFit="1" customWidth="1"/>
    <col min="9" max="9" width="21.42578125" bestFit="1" customWidth="1"/>
    <col min="10" max="10" width="17.28515625" bestFit="1" customWidth="1"/>
  </cols>
  <sheetData>
    <row r="1" spans="1:11" x14ac:dyDescent="0.25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88</v>
      </c>
      <c r="G1" t="s">
        <v>11</v>
      </c>
      <c r="H1" t="s">
        <v>12</v>
      </c>
      <c r="I1" t="s">
        <v>13</v>
      </c>
      <c r="J1" t="s">
        <v>14</v>
      </c>
      <c r="K1" t="s">
        <v>87</v>
      </c>
    </row>
    <row r="2" spans="1:11" x14ac:dyDescent="0.25">
      <c r="A2" t="s">
        <v>15</v>
      </c>
      <c r="B2">
        <v>1791</v>
      </c>
      <c r="C2">
        <v>35867</v>
      </c>
      <c r="D2">
        <v>1434</v>
      </c>
      <c r="E2">
        <v>34075</v>
      </c>
      <c r="F2">
        <v>4.2083639031547999E-2</v>
      </c>
      <c r="G2">
        <v>7.1220362622036202</v>
      </c>
      <c r="H2">
        <v>5.8986647101980898</v>
      </c>
      <c r="I2">
        <v>9.4580667117456692</v>
      </c>
      <c r="J2">
        <v>703.33427368527305</v>
      </c>
      <c r="K2">
        <v>80.067001675041794</v>
      </c>
    </row>
    <row r="3" spans="1:11" x14ac:dyDescent="0.25">
      <c r="A3" t="s">
        <v>16</v>
      </c>
      <c r="B3">
        <v>1833</v>
      </c>
      <c r="C3">
        <v>83790</v>
      </c>
      <c r="D3">
        <v>1138</v>
      </c>
      <c r="E3">
        <v>79603</v>
      </c>
      <c r="F3">
        <v>1.4295943620215299E-2</v>
      </c>
      <c r="G3">
        <v>5.7530755711774999</v>
      </c>
      <c r="H3">
        <v>5.1377460648467999</v>
      </c>
      <c r="I3">
        <v>7.7640378675406101</v>
      </c>
      <c r="J3">
        <v>217.37434460927199</v>
      </c>
      <c r="K3">
        <v>62.084015275504598</v>
      </c>
    </row>
    <row r="4" spans="1:11" x14ac:dyDescent="0.25">
      <c r="A4" t="s">
        <v>17</v>
      </c>
      <c r="B4">
        <v>195</v>
      </c>
      <c r="C4">
        <v>2923</v>
      </c>
      <c r="D4">
        <v>166</v>
      </c>
      <c r="E4">
        <v>2778</v>
      </c>
      <c r="F4">
        <v>5.9755219582433398E-2</v>
      </c>
      <c r="G4">
        <v>4.1867469879517998</v>
      </c>
      <c r="H4">
        <v>3.42584593232541</v>
      </c>
      <c r="I4">
        <v>6.6223143732680603</v>
      </c>
      <c r="J4">
        <v>98.517927492028804</v>
      </c>
      <c r="K4">
        <v>85.128205128205096</v>
      </c>
    </row>
    <row r="5" spans="1:11" x14ac:dyDescent="0.25">
      <c r="A5" t="s">
        <v>18</v>
      </c>
      <c r="B5">
        <v>470394</v>
      </c>
      <c r="C5">
        <v>622842670</v>
      </c>
      <c r="D5">
        <v>23980</v>
      </c>
      <c r="E5">
        <v>591701006</v>
      </c>
      <c r="F5" s="1">
        <v>4.0527225333127103E-5</v>
      </c>
      <c r="G5">
        <v>7.7137197664720603</v>
      </c>
      <c r="H5">
        <v>4.3591365281538801</v>
      </c>
      <c r="I5">
        <v>9.7096564411612594</v>
      </c>
      <c r="J5">
        <v>837.33228455444703</v>
      </c>
      <c r="K5">
        <v>5.0978541392959897</v>
      </c>
    </row>
    <row r="6" spans="1:11" x14ac:dyDescent="0.25">
      <c r="A6" t="s">
        <v>19</v>
      </c>
      <c r="B6">
        <v>705</v>
      </c>
      <c r="C6">
        <v>15650</v>
      </c>
      <c r="D6">
        <v>549</v>
      </c>
      <c r="E6">
        <v>14870</v>
      </c>
      <c r="F6">
        <v>3.6919973100201703E-2</v>
      </c>
      <c r="G6">
        <v>4.8032786885245899</v>
      </c>
      <c r="H6">
        <v>3.9423671822461301</v>
      </c>
      <c r="I6">
        <v>7.8719310122016202</v>
      </c>
      <c r="J6">
        <v>234.25418504280501</v>
      </c>
      <c r="K6">
        <v>77.872340425531902</v>
      </c>
    </row>
    <row r="7" spans="1:11" x14ac:dyDescent="0.25">
      <c r="A7" t="s">
        <v>20</v>
      </c>
      <c r="B7">
        <v>524</v>
      </c>
      <c r="C7">
        <v>17085</v>
      </c>
      <c r="D7">
        <v>376</v>
      </c>
      <c r="E7">
        <v>16233</v>
      </c>
      <c r="F7">
        <v>2.3162693279122699E-2</v>
      </c>
      <c r="G7">
        <v>4.44414893617021</v>
      </c>
      <c r="H7">
        <v>3.1666358652128301</v>
      </c>
      <c r="I7">
        <v>7.0985982011597297</v>
      </c>
      <c r="J7">
        <v>137.05376979203899</v>
      </c>
      <c r="K7">
        <v>71.755725190839698</v>
      </c>
    </row>
    <row r="8" spans="1:11" x14ac:dyDescent="0.25">
      <c r="A8" t="s">
        <v>21</v>
      </c>
      <c r="B8">
        <v>19100</v>
      </c>
      <c r="C8">
        <v>1293163</v>
      </c>
      <c r="D8">
        <v>10762</v>
      </c>
      <c r="E8">
        <v>1228519</v>
      </c>
      <c r="F8">
        <v>8.7601412757962998E-3</v>
      </c>
      <c r="G8">
        <v>4.1853744657126901</v>
      </c>
      <c r="H8">
        <v>3.62226225235425</v>
      </c>
      <c r="I8">
        <v>11.506748010187399</v>
      </c>
      <c r="J8">
        <v>2909.8882014307501</v>
      </c>
      <c r="K8">
        <v>56.345549738219802</v>
      </c>
    </row>
    <row r="9" spans="1:11" x14ac:dyDescent="0.25">
      <c r="A9" t="s">
        <v>22</v>
      </c>
      <c r="B9">
        <v>7473</v>
      </c>
      <c r="C9">
        <v>338316</v>
      </c>
      <c r="D9">
        <v>4518</v>
      </c>
      <c r="E9">
        <v>321402</v>
      </c>
      <c r="F9">
        <v>1.40571620587301E-2</v>
      </c>
      <c r="G9">
        <v>6.8911022576361196</v>
      </c>
      <c r="H9">
        <v>3.8814630898376401</v>
      </c>
      <c r="I9">
        <v>8.2236778363494896</v>
      </c>
      <c r="J9">
        <v>298.93289181185401</v>
      </c>
      <c r="K9">
        <v>60.457647531112002</v>
      </c>
    </row>
    <row r="10" spans="1:11" x14ac:dyDescent="0.25">
      <c r="A10" t="s">
        <v>23</v>
      </c>
      <c r="B10">
        <v>711474</v>
      </c>
      <c r="C10">
        <v>562026930</v>
      </c>
      <c r="D10">
        <v>84961</v>
      </c>
      <c r="E10">
        <v>533925901</v>
      </c>
      <c r="F10">
        <v>1.5912507679600199E-4</v>
      </c>
      <c r="G10">
        <v>6.0417603370958401</v>
      </c>
      <c r="H10">
        <v>4.7850265462210597</v>
      </c>
      <c r="I10">
        <v>12.8664796767964</v>
      </c>
      <c r="J10">
        <v>7467.8626426505198</v>
      </c>
      <c r="K10">
        <v>11.941546704447299</v>
      </c>
    </row>
    <row r="11" spans="1:11" x14ac:dyDescent="0.25">
      <c r="A11" t="s">
        <v>24</v>
      </c>
      <c r="B11">
        <v>15691</v>
      </c>
      <c r="C11">
        <v>1617101</v>
      </c>
      <c r="D11">
        <v>6594</v>
      </c>
      <c r="E11">
        <v>1536262</v>
      </c>
      <c r="F11">
        <v>4.2922366106822899E-3</v>
      </c>
      <c r="G11">
        <v>7.3198362147406701</v>
      </c>
      <c r="H11">
        <v>4.0485418502833497</v>
      </c>
      <c r="I11">
        <v>8.7658234835668605</v>
      </c>
      <c r="J11">
        <v>435.287108503794</v>
      </c>
      <c r="K11">
        <v>42.024090242814303</v>
      </c>
    </row>
    <row r="12" spans="1:11" x14ac:dyDescent="0.25">
      <c r="A12" t="s">
        <v>25</v>
      </c>
      <c r="B12">
        <v>36508</v>
      </c>
      <c r="C12">
        <v>3265901</v>
      </c>
      <c r="D12">
        <v>16505</v>
      </c>
      <c r="E12">
        <v>3102616</v>
      </c>
      <c r="F12">
        <v>5.3197044042833496E-3</v>
      </c>
      <c r="G12">
        <v>5.8650711905483099</v>
      </c>
      <c r="H12">
        <v>4.1764601226835598</v>
      </c>
      <c r="I12">
        <v>9.7149147060139498</v>
      </c>
      <c r="J12">
        <v>840.38972103220101</v>
      </c>
      <c r="K12">
        <v>45.209269201270899</v>
      </c>
    </row>
    <row r="13" spans="1:11" x14ac:dyDescent="0.25">
      <c r="A13" t="s">
        <v>26</v>
      </c>
      <c r="B13">
        <v>28003</v>
      </c>
      <c r="C13">
        <v>2494460</v>
      </c>
      <c r="D13">
        <v>13155</v>
      </c>
      <c r="E13">
        <v>2369742</v>
      </c>
      <c r="F13">
        <v>5.5512372232926601E-3</v>
      </c>
      <c r="G13">
        <v>6.26826301786393</v>
      </c>
      <c r="H13">
        <v>5.02390302404228</v>
      </c>
      <c r="I13">
        <v>11.299776058573601</v>
      </c>
      <c r="J13">
        <v>2520.9924087035802</v>
      </c>
      <c r="K13">
        <v>46.9771095954004</v>
      </c>
    </row>
    <row r="14" spans="1:11" x14ac:dyDescent="0.25">
      <c r="A14" t="s">
        <v>27</v>
      </c>
      <c r="B14">
        <v>2246</v>
      </c>
      <c r="C14">
        <v>57708</v>
      </c>
      <c r="D14">
        <v>1701</v>
      </c>
      <c r="E14">
        <v>54825</v>
      </c>
      <c r="F14">
        <v>3.10259917920656E-2</v>
      </c>
      <c r="G14">
        <v>7.0217519106407904</v>
      </c>
      <c r="H14">
        <v>6.1138896488828003</v>
      </c>
      <c r="I14">
        <v>9.5105479825543302</v>
      </c>
      <c r="J14">
        <v>729.39069387309496</v>
      </c>
      <c r="K14">
        <v>75.734639358860207</v>
      </c>
    </row>
    <row r="15" spans="1:11" x14ac:dyDescent="0.25">
      <c r="A15" t="s">
        <v>28</v>
      </c>
      <c r="B15">
        <v>1072</v>
      </c>
      <c r="C15">
        <v>44542</v>
      </c>
      <c r="D15">
        <v>663</v>
      </c>
      <c r="E15">
        <v>42321</v>
      </c>
      <c r="F15">
        <v>1.566598142766E-2</v>
      </c>
      <c r="G15">
        <v>5.8295625942684701</v>
      </c>
      <c r="H15">
        <v>4.2520734387183596</v>
      </c>
      <c r="I15">
        <v>6.90830815152745</v>
      </c>
      <c r="J15">
        <v>120.117966932801</v>
      </c>
      <c r="K15">
        <v>61.847014925373102</v>
      </c>
    </row>
    <row r="16" spans="1:11" x14ac:dyDescent="0.25">
      <c r="A16" t="s">
        <v>29</v>
      </c>
      <c r="B16">
        <v>204689</v>
      </c>
      <c r="C16">
        <v>35246556</v>
      </c>
      <c r="D16">
        <v>68282</v>
      </c>
      <c r="E16">
        <v>33484260</v>
      </c>
      <c r="F16">
        <v>2.0392267889450099E-3</v>
      </c>
      <c r="G16">
        <v>8.3646788319029906</v>
      </c>
      <c r="H16">
        <v>6.1855179119980503</v>
      </c>
      <c r="I16">
        <v>12.8214145897234</v>
      </c>
      <c r="J16">
        <v>7238.1966557535497</v>
      </c>
      <c r="K16">
        <v>33.358900575995698</v>
      </c>
    </row>
    <row r="17" spans="1:11" x14ac:dyDescent="0.25">
      <c r="A17" t="s">
        <v>30</v>
      </c>
      <c r="B17">
        <v>68244</v>
      </c>
      <c r="C17">
        <v>6284823</v>
      </c>
      <c r="D17">
        <v>31106</v>
      </c>
      <c r="E17">
        <v>5970588</v>
      </c>
      <c r="F17">
        <v>5.2098721264974201E-3</v>
      </c>
      <c r="G17">
        <v>7.7422040763839703</v>
      </c>
      <c r="H17">
        <v>5.8157276971715302</v>
      </c>
      <c r="I17">
        <v>12.1648690235412</v>
      </c>
      <c r="J17">
        <v>4591.8793584908899</v>
      </c>
      <c r="K17">
        <v>45.5805638590938</v>
      </c>
    </row>
    <row r="18" spans="1:11" x14ac:dyDescent="0.25">
      <c r="A18" t="s">
        <v>31</v>
      </c>
      <c r="B18">
        <v>761</v>
      </c>
      <c r="C18">
        <v>36166</v>
      </c>
      <c r="D18">
        <v>520</v>
      </c>
      <c r="E18">
        <v>34366</v>
      </c>
      <c r="F18">
        <v>1.51312343595414E-2</v>
      </c>
      <c r="G18">
        <v>4.38846153846153</v>
      </c>
      <c r="H18">
        <v>3.07731478787173</v>
      </c>
      <c r="I18">
        <v>7.3999253265772804</v>
      </c>
      <c r="J18">
        <v>168.88827075112499</v>
      </c>
      <c r="K18">
        <v>68.331143232588701</v>
      </c>
    </row>
    <row r="19" spans="1:11" x14ac:dyDescent="0.25">
      <c r="A19" t="s">
        <v>32</v>
      </c>
      <c r="B19">
        <v>4282</v>
      </c>
      <c r="C19">
        <v>160727</v>
      </c>
      <c r="D19">
        <v>2855</v>
      </c>
      <c r="E19">
        <v>152697</v>
      </c>
      <c r="F19">
        <v>1.86971584248544E-2</v>
      </c>
      <c r="G19">
        <v>6.2297723292469298</v>
      </c>
      <c r="H19">
        <v>5.5238413328356097</v>
      </c>
      <c r="I19">
        <v>9.1527223386694896</v>
      </c>
      <c r="J19">
        <v>569.17257505710495</v>
      </c>
      <c r="K19">
        <v>66.674451191032205</v>
      </c>
    </row>
    <row r="20" spans="1:11" x14ac:dyDescent="0.25">
      <c r="A20" t="s">
        <v>33</v>
      </c>
      <c r="B20">
        <v>29277</v>
      </c>
      <c r="C20">
        <v>3287617</v>
      </c>
      <c r="D20">
        <v>13034</v>
      </c>
      <c r="E20">
        <v>3123253</v>
      </c>
      <c r="F20">
        <v>4.1732129929916003E-3</v>
      </c>
      <c r="G20">
        <v>6.7117538744821204</v>
      </c>
      <c r="H20">
        <v>3.9578577207802201</v>
      </c>
      <c r="I20">
        <v>9.7818526468753593</v>
      </c>
      <c r="J20">
        <v>880.30072569112701</v>
      </c>
      <c r="K20">
        <v>44.519588755678498</v>
      </c>
    </row>
    <row r="21" spans="1:11" x14ac:dyDescent="0.25">
      <c r="A21" t="s">
        <v>34</v>
      </c>
      <c r="B21">
        <v>5110</v>
      </c>
      <c r="C21">
        <v>373160</v>
      </c>
      <c r="D21">
        <v>2720</v>
      </c>
      <c r="E21">
        <v>354514</v>
      </c>
      <c r="F21">
        <v>7.6724755580879697E-3</v>
      </c>
      <c r="G21">
        <v>6.7919117647058798</v>
      </c>
      <c r="H21">
        <v>4.4115436907992303</v>
      </c>
      <c r="I21">
        <v>7.95761587119331</v>
      </c>
      <c r="J21">
        <v>248.588521413607</v>
      </c>
      <c r="K21">
        <v>53.2289628180039</v>
      </c>
    </row>
    <row r="22" spans="1:11" x14ac:dyDescent="0.25">
      <c r="A22" t="s">
        <v>35</v>
      </c>
      <c r="B22">
        <v>138959</v>
      </c>
      <c r="C22">
        <v>24520715</v>
      </c>
      <c r="D22">
        <v>46620</v>
      </c>
      <c r="E22">
        <v>23294688</v>
      </c>
      <c r="F22">
        <v>2.0013146344780401E-3</v>
      </c>
      <c r="G22">
        <v>8.2762977262977202</v>
      </c>
      <c r="H22">
        <v>5.8023492308632703</v>
      </c>
      <c r="I22">
        <v>12.071861545436199</v>
      </c>
      <c r="J22">
        <v>4305.1910492358102</v>
      </c>
      <c r="K22">
        <v>33.549464230456401</v>
      </c>
    </row>
    <row r="23" spans="1:11" x14ac:dyDescent="0.25">
      <c r="A23" t="s">
        <v>36</v>
      </c>
      <c r="B23">
        <v>245377</v>
      </c>
      <c r="C23">
        <v>70620134</v>
      </c>
      <c r="D23">
        <v>47392</v>
      </c>
      <c r="E23">
        <v>67089168</v>
      </c>
      <c r="F23">
        <v>7.064031558716E-4</v>
      </c>
      <c r="G23">
        <v>6.9678848750844002</v>
      </c>
      <c r="H23">
        <v>5.1658931885993802</v>
      </c>
      <c r="I23">
        <v>12.318147489606</v>
      </c>
      <c r="J23">
        <v>5106.6005230742303</v>
      </c>
      <c r="K23">
        <v>19.313953630535799</v>
      </c>
    </row>
    <row r="24" spans="1:11" x14ac:dyDescent="0.25">
      <c r="A24" t="s">
        <v>37</v>
      </c>
      <c r="B24">
        <v>12920</v>
      </c>
      <c r="C24">
        <v>1076899</v>
      </c>
      <c r="D24">
        <v>5742</v>
      </c>
      <c r="E24">
        <v>1023060</v>
      </c>
      <c r="F24">
        <v>5.6125740425781402E-3</v>
      </c>
      <c r="G24">
        <v>6.94827586206896</v>
      </c>
      <c r="H24">
        <v>4.4832600238500104</v>
      </c>
      <c r="I24">
        <v>8.5160006091560998</v>
      </c>
      <c r="J24">
        <v>366.07631107873101</v>
      </c>
      <c r="K24">
        <v>44.442724458204303</v>
      </c>
    </row>
    <row r="25" spans="1:11" x14ac:dyDescent="0.25">
      <c r="A25" t="s">
        <v>38</v>
      </c>
      <c r="B25">
        <v>141</v>
      </c>
      <c r="C25">
        <v>4513</v>
      </c>
      <c r="D25">
        <v>99</v>
      </c>
      <c r="E25">
        <v>4289</v>
      </c>
      <c r="F25">
        <v>2.3082303567265001E-2</v>
      </c>
      <c r="G25">
        <v>4.3030303030303001</v>
      </c>
      <c r="H25">
        <v>3.5152716250874301</v>
      </c>
      <c r="I25">
        <v>5.3847706087912597</v>
      </c>
      <c r="J25">
        <v>41.780869422323001</v>
      </c>
      <c r="K25">
        <v>70.212765957446805</v>
      </c>
    </row>
    <row r="26" spans="1:11" x14ac:dyDescent="0.25">
      <c r="A26" t="s">
        <v>39</v>
      </c>
      <c r="B26">
        <v>5721</v>
      </c>
      <c r="C26">
        <v>304806</v>
      </c>
      <c r="D26">
        <v>3431</v>
      </c>
      <c r="E26">
        <v>289576</v>
      </c>
      <c r="F26">
        <v>1.1848357598695999E-2</v>
      </c>
      <c r="G26">
        <v>6.5665986592829997</v>
      </c>
      <c r="H26">
        <v>5.4487940989584702</v>
      </c>
      <c r="I26">
        <v>9.8132791389888805</v>
      </c>
      <c r="J26">
        <v>899.68685801145898</v>
      </c>
      <c r="K26">
        <v>59.972032861387802</v>
      </c>
    </row>
    <row r="27" spans="1:11" x14ac:dyDescent="0.25">
      <c r="A27" t="s">
        <v>40</v>
      </c>
      <c r="B27">
        <v>147276</v>
      </c>
      <c r="C27">
        <v>30263839</v>
      </c>
      <c r="D27">
        <v>46136</v>
      </c>
      <c r="E27">
        <v>28750665</v>
      </c>
      <c r="F27">
        <v>1.60469331752848E-3</v>
      </c>
      <c r="G27">
        <v>7.7464886422750103</v>
      </c>
      <c r="H27">
        <v>5.1193625608311999</v>
      </c>
      <c r="I27">
        <v>11.633721354650801</v>
      </c>
      <c r="J27">
        <v>3177.5989912564301</v>
      </c>
      <c r="K27">
        <v>31.3262174420815</v>
      </c>
    </row>
    <row r="28" spans="1:11" x14ac:dyDescent="0.25">
      <c r="A28" t="s">
        <v>41</v>
      </c>
      <c r="B28">
        <v>4616</v>
      </c>
      <c r="C28">
        <v>917093</v>
      </c>
      <c r="D28">
        <v>930</v>
      </c>
      <c r="E28">
        <v>871246</v>
      </c>
      <c r="F28">
        <v>1.0674367515030199E-3</v>
      </c>
      <c r="G28">
        <v>5.9193548387096699</v>
      </c>
      <c r="H28">
        <v>5.6157067005185599</v>
      </c>
      <c r="I28">
        <v>7.1845588971366103</v>
      </c>
      <c r="J28">
        <v>145.46808902142001</v>
      </c>
      <c r="K28">
        <v>20.147313691507701</v>
      </c>
    </row>
    <row r="29" spans="1:11" x14ac:dyDescent="0.25">
      <c r="A29" t="s">
        <v>42</v>
      </c>
      <c r="B29">
        <v>27204</v>
      </c>
      <c r="C29">
        <v>4681750</v>
      </c>
      <c r="D29">
        <v>8610</v>
      </c>
      <c r="E29">
        <v>4447666</v>
      </c>
      <c r="F29">
        <v>1.9358468014459701E-3</v>
      </c>
      <c r="G29">
        <v>6.6281068524970896</v>
      </c>
      <c r="H29">
        <v>3.8853423346087501</v>
      </c>
      <c r="I29">
        <v>9.2059740093846507</v>
      </c>
      <c r="J29">
        <v>590.57399031444402</v>
      </c>
      <c r="K29">
        <v>31.6497573886193</v>
      </c>
    </row>
    <row r="30" spans="1:11" x14ac:dyDescent="0.25">
      <c r="A30" t="s">
        <v>43</v>
      </c>
      <c r="B30">
        <v>4877</v>
      </c>
      <c r="C30">
        <v>205980</v>
      </c>
      <c r="D30">
        <v>3352</v>
      </c>
      <c r="E30">
        <v>195684</v>
      </c>
      <c r="F30">
        <v>1.7129658020073098E-2</v>
      </c>
      <c r="G30">
        <v>6.7004773269689704</v>
      </c>
      <c r="H30">
        <v>5.65000715439177</v>
      </c>
      <c r="I30">
        <v>10.416885415065099</v>
      </c>
      <c r="J30">
        <v>1367.0832787336899</v>
      </c>
      <c r="K30">
        <v>68.730777117080095</v>
      </c>
    </row>
    <row r="31" spans="1:11" x14ac:dyDescent="0.25">
      <c r="A31" t="s">
        <v>44</v>
      </c>
      <c r="B31">
        <v>213</v>
      </c>
      <c r="C31">
        <v>3154</v>
      </c>
      <c r="D31">
        <v>182</v>
      </c>
      <c r="E31">
        <v>2999</v>
      </c>
      <c r="F31">
        <v>6.0686895631877201E-2</v>
      </c>
      <c r="G31">
        <v>5.4505494505494498</v>
      </c>
      <c r="H31">
        <v>4.9006335445148297</v>
      </c>
      <c r="I31">
        <v>6.7379719021453699</v>
      </c>
      <c r="J31">
        <v>106.741094705264</v>
      </c>
      <c r="K31">
        <v>85.446009389671303</v>
      </c>
    </row>
    <row r="32" spans="1:11" x14ac:dyDescent="0.25">
      <c r="A32" t="s">
        <v>45</v>
      </c>
      <c r="B32">
        <v>265535</v>
      </c>
      <c r="C32">
        <v>157624016</v>
      </c>
      <c r="D32">
        <v>43280</v>
      </c>
      <c r="E32">
        <v>149742839</v>
      </c>
      <c r="F32">
        <v>2.8902884631431299E-4</v>
      </c>
      <c r="G32">
        <v>8.0230591497227302</v>
      </c>
      <c r="H32">
        <v>4.9334350405898197</v>
      </c>
      <c r="I32">
        <v>10.9504041181491</v>
      </c>
      <c r="J32">
        <v>1978.7918100280101</v>
      </c>
      <c r="K32">
        <v>16.299169600994201</v>
      </c>
    </row>
    <row r="33" spans="1:11" x14ac:dyDescent="0.25">
      <c r="A33" t="s">
        <v>46</v>
      </c>
      <c r="B33">
        <v>393733</v>
      </c>
      <c r="C33">
        <v>316192788</v>
      </c>
      <c r="D33">
        <v>29491</v>
      </c>
      <c r="E33">
        <v>300383394</v>
      </c>
      <c r="F33" s="1">
        <v>9.8177863986715497E-5</v>
      </c>
      <c r="G33">
        <v>7.6833610253975699</v>
      </c>
      <c r="H33">
        <v>4.5141805142530602</v>
      </c>
      <c r="I33">
        <v>10.080394150179201</v>
      </c>
      <c r="J33">
        <v>1082.6822263401</v>
      </c>
      <c r="K33">
        <v>7.49010115992309</v>
      </c>
    </row>
    <row r="34" spans="1:11" x14ac:dyDescent="0.25">
      <c r="A34" t="s">
        <v>47</v>
      </c>
      <c r="B34">
        <v>3013</v>
      </c>
      <c r="C34">
        <v>183238</v>
      </c>
      <c r="D34">
        <v>1783</v>
      </c>
      <c r="E34">
        <v>174087</v>
      </c>
      <c r="F34">
        <v>1.02420054340645E-2</v>
      </c>
      <c r="G34">
        <v>6.6180594503645498</v>
      </c>
      <c r="H34">
        <v>4.0438171718738296</v>
      </c>
      <c r="I34">
        <v>7.9279885190695802</v>
      </c>
      <c r="J34">
        <v>243.53554068359401</v>
      </c>
      <c r="K34">
        <v>59.176900099568499</v>
      </c>
    </row>
    <row r="35" spans="1:11" x14ac:dyDescent="0.25">
      <c r="A35" t="s">
        <v>48</v>
      </c>
      <c r="B35">
        <v>166289</v>
      </c>
      <c r="C35">
        <v>50780814</v>
      </c>
      <c r="D35">
        <v>7614</v>
      </c>
      <c r="E35">
        <v>48241871</v>
      </c>
      <c r="F35">
        <v>1.5782969943267699E-4</v>
      </c>
      <c r="G35">
        <v>6.4240872077751501</v>
      </c>
      <c r="H35">
        <v>4.9631102823520203</v>
      </c>
      <c r="I35">
        <v>6.2643716734286699</v>
      </c>
      <c r="J35">
        <v>76.871220709569002</v>
      </c>
      <c r="K35">
        <v>4.5787755052949901</v>
      </c>
    </row>
    <row r="36" spans="1:11" x14ac:dyDescent="0.25">
      <c r="A36" t="s">
        <v>49</v>
      </c>
      <c r="B36">
        <v>1374563</v>
      </c>
      <c r="C36">
        <v>1684211307</v>
      </c>
      <c r="D36">
        <v>121291</v>
      </c>
      <c r="E36">
        <v>1600001235</v>
      </c>
      <c r="F36" s="1">
        <v>7.5806816486613494E-5</v>
      </c>
      <c r="G36">
        <v>7.7874285808510102</v>
      </c>
      <c r="H36">
        <v>5.1778568970916998</v>
      </c>
      <c r="I36">
        <v>12.5969032090567</v>
      </c>
      <c r="J36">
        <v>6195.0628738757896</v>
      </c>
      <c r="K36">
        <v>8.8239680538469294</v>
      </c>
    </row>
    <row r="37" spans="1:11" x14ac:dyDescent="0.25">
      <c r="A37" t="s">
        <v>50</v>
      </c>
      <c r="B37">
        <v>229</v>
      </c>
      <c r="C37">
        <v>7906</v>
      </c>
      <c r="D37">
        <v>157</v>
      </c>
      <c r="E37">
        <v>7514</v>
      </c>
      <c r="F37">
        <v>2.0894330582911898E-2</v>
      </c>
      <c r="G37">
        <v>4.68152866242038</v>
      </c>
      <c r="H37">
        <v>3.6683524088368298</v>
      </c>
      <c r="I37">
        <v>5.3503965084543896</v>
      </c>
      <c r="J37">
        <v>40.797151170218498</v>
      </c>
      <c r="K37">
        <v>68.558951965065503</v>
      </c>
    </row>
    <row r="38" spans="1:11" x14ac:dyDescent="0.25">
      <c r="A38" t="s">
        <v>51</v>
      </c>
      <c r="B38">
        <v>14134</v>
      </c>
      <c r="C38">
        <v>1101050</v>
      </c>
      <c r="D38">
        <v>6399</v>
      </c>
      <c r="E38">
        <v>1046006</v>
      </c>
      <c r="F38">
        <v>6.1175557310378702E-3</v>
      </c>
      <c r="G38">
        <v>6.6193155180496897</v>
      </c>
      <c r="H38">
        <v>5.5896945141806</v>
      </c>
      <c r="I38">
        <v>9.2708008119972796</v>
      </c>
      <c r="J38">
        <v>617.71639500522997</v>
      </c>
      <c r="K38">
        <v>45.273807839252797</v>
      </c>
    </row>
    <row r="39" spans="1:11" x14ac:dyDescent="0.25">
      <c r="A39" t="s">
        <v>52</v>
      </c>
      <c r="B39">
        <v>3930</v>
      </c>
      <c r="C39">
        <v>241338</v>
      </c>
      <c r="D39">
        <v>2245</v>
      </c>
      <c r="E39">
        <v>229275</v>
      </c>
      <c r="F39">
        <v>9.7917348162686706E-3</v>
      </c>
      <c r="G39">
        <v>4.8788418708240497</v>
      </c>
      <c r="H39">
        <v>3.8045578453821798</v>
      </c>
      <c r="I39">
        <v>8.9702365691153805</v>
      </c>
      <c r="J39">
        <v>501.54542764455402</v>
      </c>
      <c r="K39">
        <v>57.124681933842197</v>
      </c>
    </row>
    <row r="40" spans="1:11" x14ac:dyDescent="0.25">
      <c r="A40" t="s">
        <v>53</v>
      </c>
      <c r="B40">
        <v>17867</v>
      </c>
      <c r="C40">
        <v>1559792</v>
      </c>
      <c r="D40">
        <v>9725</v>
      </c>
      <c r="E40">
        <v>1481813</v>
      </c>
      <c r="F40">
        <v>6.5629063856235499E-3</v>
      </c>
      <c r="G40">
        <v>6.9196915167095101</v>
      </c>
      <c r="H40">
        <v>5.7842197362285201</v>
      </c>
      <c r="I40">
        <v>11.280819407027</v>
      </c>
      <c r="J40">
        <v>2488.0838781826201</v>
      </c>
      <c r="K40">
        <v>54.429954665024901</v>
      </c>
    </row>
    <row r="41" spans="1:11" x14ac:dyDescent="0.25">
      <c r="A41" t="s">
        <v>54</v>
      </c>
      <c r="B41">
        <v>30114</v>
      </c>
      <c r="C41">
        <v>1555694</v>
      </c>
      <c r="D41">
        <v>17466</v>
      </c>
      <c r="E41">
        <v>1477913</v>
      </c>
      <c r="F41">
        <v>1.18180163514361E-2</v>
      </c>
      <c r="G41">
        <v>6.8442116111301896</v>
      </c>
      <c r="H41">
        <v>4.8778703482546</v>
      </c>
      <c r="I41">
        <v>10.741939491434101</v>
      </c>
      <c r="J41">
        <v>1712.56079841992</v>
      </c>
      <c r="K41">
        <v>57.999601514245803</v>
      </c>
    </row>
    <row r="42" spans="1:11" x14ac:dyDescent="0.25">
      <c r="A42" t="s">
        <v>55</v>
      </c>
      <c r="B42">
        <v>2938</v>
      </c>
      <c r="C42">
        <v>123397</v>
      </c>
      <c r="D42">
        <v>1881</v>
      </c>
      <c r="E42">
        <v>117235</v>
      </c>
      <c r="F42">
        <v>1.6044696549665199E-2</v>
      </c>
      <c r="G42">
        <v>5.9340776182881401</v>
      </c>
      <c r="H42">
        <v>3.7388749093700602</v>
      </c>
      <c r="I42">
        <v>8.2208992843194508</v>
      </c>
      <c r="J42">
        <v>298.35771740744298</v>
      </c>
      <c r="K42">
        <v>64.023144996596301</v>
      </c>
    </row>
    <row r="43" spans="1:11" x14ac:dyDescent="0.25">
      <c r="A43" t="s">
        <v>56</v>
      </c>
      <c r="B43">
        <v>5752</v>
      </c>
      <c r="C43">
        <v>331549</v>
      </c>
      <c r="D43">
        <v>3120</v>
      </c>
      <c r="E43">
        <v>314980</v>
      </c>
      <c r="F43">
        <v>9.9053908184646607E-3</v>
      </c>
      <c r="G43">
        <v>6.47660256410256</v>
      </c>
      <c r="H43">
        <v>3.5326909645056799</v>
      </c>
      <c r="I43">
        <v>8.1344783609018503</v>
      </c>
      <c r="J43">
        <v>281.010136373021</v>
      </c>
      <c r="K43">
        <v>54.242002781641098</v>
      </c>
    </row>
    <row r="44" spans="1:11" x14ac:dyDescent="0.25">
      <c r="A44" t="s">
        <v>57</v>
      </c>
      <c r="B44">
        <v>2016</v>
      </c>
      <c r="C44">
        <v>73668</v>
      </c>
      <c r="D44">
        <v>1369</v>
      </c>
      <c r="E44">
        <v>69987</v>
      </c>
      <c r="F44">
        <v>1.9560775572606302E-2</v>
      </c>
      <c r="G44">
        <v>6.1833455076698298</v>
      </c>
      <c r="H44">
        <v>5.4673296469344299</v>
      </c>
      <c r="I44">
        <v>8.5198833031104595</v>
      </c>
      <c r="J44">
        <v>367.06285126724498</v>
      </c>
      <c r="K44">
        <v>67.906746031745996</v>
      </c>
    </row>
    <row r="45" spans="1:11" x14ac:dyDescent="0.25">
      <c r="A45" t="s">
        <v>58</v>
      </c>
      <c r="B45">
        <v>2154699</v>
      </c>
      <c r="C45">
        <v>2983758417</v>
      </c>
      <c r="D45">
        <v>61316</v>
      </c>
      <c r="E45">
        <v>2834570914</v>
      </c>
      <c r="F45" s="1">
        <v>2.1631492688067498E-5</v>
      </c>
      <c r="G45">
        <v>8.5583860656272392</v>
      </c>
      <c r="H45">
        <v>4.6592286545984001</v>
      </c>
      <c r="I45">
        <v>10.5778581335633</v>
      </c>
      <c r="J45">
        <v>1528.4547575459301</v>
      </c>
      <c r="K45">
        <v>2.8456874950979199</v>
      </c>
    </row>
    <row r="46" spans="1:11" x14ac:dyDescent="0.25">
      <c r="A46" t="s">
        <v>59</v>
      </c>
      <c r="B46">
        <v>2473354</v>
      </c>
      <c r="C46">
        <v>1799396251</v>
      </c>
      <c r="D46">
        <v>102288</v>
      </c>
      <c r="E46">
        <v>1709426859</v>
      </c>
      <c r="F46" s="1">
        <v>5.9837599638417699E-5</v>
      </c>
      <c r="G46">
        <v>9.8599737994681593</v>
      </c>
      <c r="H46">
        <v>5.5738565214623197</v>
      </c>
      <c r="I46">
        <v>11.1743525813838</v>
      </c>
      <c r="J46">
        <v>2311.08175560065</v>
      </c>
      <c r="K46">
        <v>4.1355988669636403</v>
      </c>
    </row>
    <row r="47" spans="1:11" x14ac:dyDescent="0.25">
      <c r="A47" t="s">
        <v>60</v>
      </c>
      <c r="B47">
        <v>10563</v>
      </c>
      <c r="C47">
        <v>792676</v>
      </c>
      <c r="D47">
        <v>5607</v>
      </c>
      <c r="E47">
        <v>753043</v>
      </c>
      <c r="F47">
        <v>7.4457899482499599E-3</v>
      </c>
      <c r="G47">
        <v>5.5605493133583002</v>
      </c>
      <c r="H47">
        <v>3.9713123951753002</v>
      </c>
      <c r="I47">
        <v>9.8237867711340208</v>
      </c>
      <c r="J47">
        <v>906.26350020298798</v>
      </c>
      <c r="K47">
        <v>53.081510934393599</v>
      </c>
    </row>
    <row r="48" spans="1:11" x14ac:dyDescent="0.25">
      <c r="A48" t="s">
        <v>61</v>
      </c>
      <c r="B48">
        <v>9671</v>
      </c>
      <c r="C48">
        <v>738430</v>
      </c>
      <c r="D48">
        <v>4660</v>
      </c>
      <c r="E48">
        <v>701517</v>
      </c>
      <c r="F48">
        <v>6.6427470752668796E-3</v>
      </c>
      <c r="G48">
        <v>5.40729613733905</v>
      </c>
      <c r="H48">
        <v>3.0585673618743301</v>
      </c>
      <c r="I48">
        <v>8.5578060743914097</v>
      </c>
      <c r="J48">
        <v>376.839418936801</v>
      </c>
      <c r="K48">
        <v>48.185296246510099</v>
      </c>
    </row>
    <row r="49" spans="1:11" x14ac:dyDescent="0.25">
      <c r="A49" t="s">
        <v>62</v>
      </c>
      <c r="B49">
        <v>5090214</v>
      </c>
      <c r="C49">
        <v>26970419603</v>
      </c>
      <c r="D49">
        <v>36666</v>
      </c>
      <c r="E49">
        <v>25621899350</v>
      </c>
      <c r="F49" s="1">
        <v>1.4310414500945199E-6</v>
      </c>
      <c r="G49">
        <v>7.1879125075001298</v>
      </c>
      <c r="H49">
        <v>4.7899790235496296</v>
      </c>
      <c r="I49">
        <v>10.8123529469944</v>
      </c>
      <c r="J49">
        <v>1798.2189115486001</v>
      </c>
      <c r="K49">
        <v>0.72032334986308999</v>
      </c>
    </row>
    <row r="50" spans="1:11" x14ac:dyDescent="0.25">
      <c r="A50" t="s">
        <v>63</v>
      </c>
      <c r="B50">
        <v>216173</v>
      </c>
      <c r="C50">
        <v>51337080</v>
      </c>
      <c r="D50">
        <v>45857</v>
      </c>
      <c r="E50">
        <v>48770230</v>
      </c>
      <c r="F50">
        <v>9.4026622388288905E-4</v>
      </c>
      <c r="G50">
        <v>7.5832043090476899</v>
      </c>
      <c r="H50">
        <v>4.6890622209491299</v>
      </c>
      <c r="I50">
        <v>10.5101234031433</v>
      </c>
      <c r="J50">
        <v>1458.3521373537801</v>
      </c>
      <c r="K50">
        <v>21.213102468855901</v>
      </c>
    </row>
    <row r="51" spans="1:11" x14ac:dyDescent="0.25">
      <c r="A51" t="s">
        <v>64</v>
      </c>
      <c r="B51">
        <v>299877</v>
      </c>
      <c r="C51">
        <v>62799112</v>
      </c>
      <c r="D51">
        <v>73539</v>
      </c>
      <c r="E51">
        <v>59659186</v>
      </c>
      <c r="F51">
        <v>1.23265174955622E-3</v>
      </c>
      <c r="G51">
        <v>8.9371353975441608</v>
      </c>
      <c r="H51">
        <v>5.9656762329945296</v>
      </c>
      <c r="I51">
        <v>12.3269808571885</v>
      </c>
      <c r="J51">
        <v>5137.9632547320498</v>
      </c>
      <c r="K51">
        <v>24.5230544523254</v>
      </c>
    </row>
    <row r="52" spans="1:11" x14ac:dyDescent="0.25">
      <c r="A52" t="s">
        <v>65</v>
      </c>
      <c r="B52">
        <v>122031</v>
      </c>
      <c r="C52">
        <v>14285705</v>
      </c>
      <c r="D52">
        <v>43985</v>
      </c>
      <c r="E52">
        <v>13571421</v>
      </c>
      <c r="F52">
        <v>3.2410018081378499E-3</v>
      </c>
      <c r="G52">
        <v>8.6700920768443694</v>
      </c>
      <c r="H52">
        <v>6.3079533823318803</v>
      </c>
      <c r="I52">
        <v>11.9037670518128</v>
      </c>
      <c r="J52">
        <v>3831.6951033993701</v>
      </c>
      <c r="K52">
        <v>36.044119936737303</v>
      </c>
    </row>
    <row r="53" spans="1:11" x14ac:dyDescent="0.25">
      <c r="A53" t="s">
        <v>66</v>
      </c>
      <c r="B53">
        <v>2921</v>
      </c>
      <c r="C53">
        <v>168141</v>
      </c>
      <c r="D53">
        <v>1624</v>
      </c>
      <c r="E53">
        <v>159734</v>
      </c>
      <c r="F53">
        <v>1.0166902475365201E-2</v>
      </c>
      <c r="G53">
        <v>5.0738916256157598</v>
      </c>
      <c r="H53">
        <v>3.4002090976248001</v>
      </c>
      <c r="I53">
        <v>8.2772488935314001</v>
      </c>
      <c r="J53">
        <v>310.24171930826998</v>
      </c>
      <c r="K53">
        <v>55.597398151317996</v>
      </c>
    </row>
    <row r="54" spans="1:11" x14ac:dyDescent="0.25">
      <c r="A54" t="s">
        <v>67</v>
      </c>
      <c r="B54">
        <v>5123</v>
      </c>
      <c r="C54">
        <v>305384</v>
      </c>
      <c r="D54">
        <v>2987</v>
      </c>
      <c r="E54">
        <v>290119</v>
      </c>
      <c r="F54">
        <v>1.02957751819081E-2</v>
      </c>
      <c r="G54">
        <v>6.44827586206896</v>
      </c>
      <c r="H54">
        <v>3.9422133676181099</v>
      </c>
      <c r="I54">
        <v>8.6240663958364205</v>
      </c>
      <c r="J54">
        <v>394.55056510203701</v>
      </c>
      <c r="K54">
        <v>58.305680265469398</v>
      </c>
    </row>
    <row r="55" spans="1:11" x14ac:dyDescent="0.25">
      <c r="A55" t="s">
        <v>68</v>
      </c>
      <c r="B55">
        <v>14898</v>
      </c>
      <c r="C55">
        <v>1097577</v>
      </c>
      <c r="D55">
        <v>7127</v>
      </c>
      <c r="E55">
        <v>1042699</v>
      </c>
      <c r="F55">
        <v>6.8351460968122096E-3</v>
      </c>
      <c r="G55">
        <v>7.0538796127402801</v>
      </c>
      <c r="H55">
        <v>4.4404425438213702</v>
      </c>
      <c r="I55">
        <v>9.4557617178551698</v>
      </c>
      <c r="J55">
        <v>702.21145370825695</v>
      </c>
      <c r="K55">
        <v>47.8386360585313</v>
      </c>
    </row>
    <row r="56" spans="1:11" x14ac:dyDescent="0.25">
      <c r="A56" t="s">
        <v>69</v>
      </c>
      <c r="B56">
        <v>945</v>
      </c>
      <c r="C56">
        <v>46698</v>
      </c>
      <c r="D56">
        <v>555</v>
      </c>
      <c r="E56">
        <v>44369</v>
      </c>
      <c r="F56">
        <v>1.25087335752439E-2</v>
      </c>
      <c r="G56">
        <v>5.9675675675675599</v>
      </c>
      <c r="H56">
        <v>3.4680520183010599</v>
      </c>
      <c r="I56">
        <v>6.5904506314397899</v>
      </c>
      <c r="J56">
        <v>96.365887395738199</v>
      </c>
      <c r="K56">
        <v>58.730158730158699</v>
      </c>
    </row>
    <row r="57" spans="1:11" x14ac:dyDescent="0.25">
      <c r="A57" t="s">
        <v>70</v>
      </c>
      <c r="B57">
        <v>1763011</v>
      </c>
      <c r="C57">
        <v>432820403</v>
      </c>
      <c r="D57">
        <v>319456</v>
      </c>
      <c r="E57">
        <v>411179410</v>
      </c>
      <c r="F57">
        <v>7.76926062518548E-4</v>
      </c>
      <c r="G57">
        <v>10.734104227186201</v>
      </c>
      <c r="H57">
        <v>7.0815355151173502</v>
      </c>
      <c r="I57">
        <v>13.6162682526995</v>
      </c>
      <c r="J57">
        <v>12557.5574316367</v>
      </c>
      <c r="K57">
        <v>18.119909631874101</v>
      </c>
    </row>
    <row r="58" spans="1:11" x14ac:dyDescent="0.25">
      <c r="A58" t="s">
        <v>71</v>
      </c>
      <c r="B58">
        <v>951145</v>
      </c>
      <c r="C58">
        <v>1638019359</v>
      </c>
      <c r="D58">
        <v>33861</v>
      </c>
      <c r="E58">
        <v>1556119293</v>
      </c>
      <c r="F58" s="1">
        <v>2.1759899869064801E-5</v>
      </c>
      <c r="G58">
        <v>7.97123534449661</v>
      </c>
      <c r="H58">
        <v>4.8494210674888096</v>
      </c>
      <c r="I58">
        <v>10.4104342117377</v>
      </c>
      <c r="J58">
        <v>1360.9838308979399</v>
      </c>
      <c r="K58">
        <v>3.5600250224729102</v>
      </c>
    </row>
    <row r="59" spans="1:11" x14ac:dyDescent="0.25">
      <c r="A59" t="s">
        <v>72</v>
      </c>
      <c r="B59">
        <v>3831</v>
      </c>
      <c r="C59">
        <v>315930</v>
      </c>
      <c r="D59">
        <v>1794</v>
      </c>
      <c r="E59">
        <v>300142</v>
      </c>
      <c r="F59">
        <v>5.9771708058185703E-3</v>
      </c>
      <c r="G59">
        <v>5.5707915273132604</v>
      </c>
      <c r="H59">
        <v>4.1151854788733297</v>
      </c>
      <c r="I59">
        <v>8.0628503104752305</v>
      </c>
      <c r="J59">
        <v>267.39900936905099</v>
      </c>
      <c r="K59">
        <v>46.8285043069694</v>
      </c>
    </row>
    <row r="60" spans="1:11" x14ac:dyDescent="0.25">
      <c r="A60" t="s">
        <v>73</v>
      </c>
      <c r="B60">
        <v>1201134</v>
      </c>
      <c r="C60">
        <v>897951484</v>
      </c>
      <c r="D60">
        <v>99715</v>
      </c>
      <c r="E60">
        <v>853054300</v>
      </c>
      <c r="F60">
        <v>1.1689173831021E-4</v>
      </c>
      <c r="G60">
        <v>8.0425813568670694</v>
      </c>
      <c r="H60">
        <v>5.2429488650370697</v>
      </c>
      <c r="I60">
        <v>12.1164736905178</v>
      </c>
      <c r="J60">
        <v>4440.3992693441896</v>
      </c>
      <c r="K60">
        <v>8.3017381907430803</v>
      </c>
    </row>
    <row r="61" spans="1:11" x14ac:dyDescent="0.25">
      <c r="A61" t="s">
        <v>74</v>
      </c>
      <c r="B61">
        <v>253508</v>
      </c>
      <c r="C61">
        <v>44047920</v>
      </c>
      <c r="D61">
        <v>71979</v>
      </c>
      <c r="E61">
        <v>41845541</v>
      </c>
      <c r="F61">
        <v>1.7201115884724701E-3</v>
      </c>
      <c r="G61">
        <v>8.8545686936467494</v>
      </c>
      <c r="H61">
        <v>6.1707054761222899</v>
      </c>
      <c r="I61">
        <v>12.2305369792089</v>
      </c>
      <c r="J61">
        <v>4805.7203353496598</v>
      </c>
      <c r="K61">
        <v>28.393186802783301</v>
      </c>
    </row>
    <row r="62" spans="1:11" x14ac:dyDescent="0.25">
      <c r="A62" t="s">
        <v>75</v>
      </c>
      <c r="B62">
        <v>625</v>
      </c>
      <c r="C62">
        <v>12915</v>
      </c>
      <c r="D62">
        <v>496</v>
      </c>
      <c r="E62">
        <v>12270</v>
      </c>
      <c r="F62">
        <v>4.0423797881010498E-2</v>
      </c>
      <c r="G62">
        <v>5.5665322580645098</v>
      </c>
      <c r="H62">
        <v>4.3730236348818199</v>
      </c>
      <c r="I62">
        <v>7.6253802845412997</v>
      </c>
      <c r="J62">
        <v>197.455026587042</v>
      </c>
      <c r="K62">
        <v>79.36</v>
      </c>
    </row>
    <row r="63" spans="1:11" x14ac:dyDescent="0.25">
      <c r="A63" t="s">
        <v>76</v>
      </c>
      <c r="B63">
        <v>6559</v>
      </c>
      <c r="C63">
        <v>267015</v>
      </c>
      <c r="D63">
        <v>4292</v>
      </c>
      <c r="E63">
        <v>253667</v>
      </c>
      <c r="F63">
        <v>1.6919820079080002E-2</v>
      </c>
      <c r="G63">
        <v>6.8581081081080999</v>
      </c>
      <c r="H63">
        <v>5.4908127584589197</v>
      </c>
      <c r="I63">
        <v>10.4252360157372</v>
      </c>
      <c r="J63">
        <v>1375.01916884302</v>
      </c>
      <c r="K63">
        <v>65.436804390913196</v>
      </c>
    </row>
    <row r="64" spans="1:11" x14ac:dyDescent="0.25">
      <c r="A64" t="s">
        <v>77</v>
      </c>
      <c r="B64">
        <v>7465</v>
      </c>
      <c r="C64">
        <v>215421</v>
      </c>
      <c r="D64">
        <v>5412</v>
      </c>
      <c r="E64">
        <v>204655</v>
      </c>
      <c r="F64">
        <v>2.6444504165546799E-2</v>
      </c>
      <c r="G64">
        <v>11.068181818181801</v>
      </c>
      <c r="H64">
        <v>8.4223449219418001</v>
      </c>
      <c r="I64">
        <v>10.5637598639793</v>
      </c>
      <c r="J64">
        <v>1513.5911720020999</v>
      </c>
      <c r="K64">
        <v>72.498325519088993</v>
      </c>
    </row>
    <row r="65" spans="1:11" x14ac:dyDescent="0.25">
      <c r="A65" t="s">
        <v>78</v>
      </c>
      <c r="B65">
        <v>3450</v>
      </c>
      <c r="C65">
        <v>108558</v>
      </c>
      <c r="D65">
        <v>2439</v>
      </c>
      <c r="E65">
        <v>103134</v>
      </c>
      <c r="F65">
        <v>2.3648845191692299E-2</v>
      </c>
      <c r="G65">
        <v>6.92414924149241</v>
      </c>
      <c r="H65">
        <v>5.7030174336300297</v>
      </c>
      <c r="I65">
        <v>9.6869780950903905</v>
      </c>
      <c r="J65">
        <v>824.27280962596001</v>
      </c>
      <c r="K65">
        <v>70.695652173913004</v>
      </c>
    </row>
    <row r="66" spans="1:11" x14ac:dyDescent="0.25">
      <c r="A66" t="s">
        <v>79</v>
      </c>
      <c r="B66">
        <v>1153</v>
      </c>
      <c r="C66">
        <v>33478</v>
      </c>
      <c r="D66">
        <v>840</v>
      </c>
      <c r="E66">
        <v>31809</v>
      </c>
      <c r="F66">
        <v>2.6407620484768399E-2</v>
      </c>
      <c r="G66">
        <v>7.5011904761904704</v>
      </c>
      <c r="H66">
        <v>5.8148322801722703</v>
      </c>
      <c r="I66">
        <v>7.8606679931016297</v>
      </c>
      <c r="J66">
        <v>232.43249917281699</v>
      </c>
      <c r="K66">
        <v>72.853425845620094</v>
      </c>
    </row>
    <row r="67" spans="1:11" x14ac:dyDescent="0.25">
      <c r="A67" t="s">
        <v>80</v>
      </c>
      <c r="B67">
        <v>1641339</v>
      </c>
      <c r="C67">
        <v>2382492154</v>
      </c>
      <c r="D67">
        <v>47469</v>
      </c>
      <c r="E67">
        <v>2263367923</v>
      </c>
      <c r="F67" s="1">
        <v>2.0972728082618401E-5</v>
      </c>
      <c r="G67">
        <v>8.4224441214266097</v>
      </c>
      <c r="H67">
        <v>4.7920040969848099</v>
      </c>
      <c r="I67">
        <v>10.243968648134899</v>
      </c>
      <c r="J67">
        <v>1212.66777721425</v>
      </c>
      <c r="K67">
        <v>2.89208993388934</v>
      </c>
    </row>
    <row r="68" spans="1:11" x14ac:dyDescent="0.25">
      <c r="A68" t="s">
        <v>81</v>
      </c>
      <c r="B68">
        <v>359584</v>
      </c>
      <c r="C68">
        <v>91661473</v>
      </c>
      <c r="D68">
        <v>85373</v>
      </c>
      <c r="E68">
        <v>87078448</v>
      </c>
      <c r="F68">
        <v>9.8041480941415005E-4</v>
      </c>
      <c r="G68">
        <v>8.47851194171459</v>
      </c>
      <c r="H68">
        <v>5.7115428263030097</v>
      </c>
      <c r="I68">
        <v>12.3556805156639</v>
      </c>
      <c r="J68">
        <v>5241.1966173384899</v>
      </c>
      <c r="K68">
        <v>23.742157604342701</v>
      </c>
    </row>
    <row r="69" spans="1:11" x14ac:dyDescent="0.25">
      <c r="A69" t="s">
        <v>82</v>
      </c>
      <c r="B69">
        <v>22303</v>
      </c>
      <c r="C69">
        <v>1559701</v>
      </c>
      <c r="D69">
        <v>11340</v>
      </c>
      <c r="E69">
        <v>1481726</v>
      </c>
      <c r="F69">
        <v>7.6532368332606704E-3</v>
      </c>
      <c r="G69">
        <v>4.7637566137566099</v>
      </c>
      <c r="H69">
        <v>3.2773454741294898</v>
      </c>
      <c r="I69">
        <v>10.2733125566004</v>
      </c>
      <c r="J69">
        <v>1237.58556268795</v>
      </c>
      <c r="K69">
        <v>50.845177778774101</v>
      </c>
    </row>
    <row r="70" spans="1:11" x14ac:dyDescent="0.25">
      <c r="A70" t="s">
        <v>73</v>
      </c>
      <c r="B70">
        <v>27637</v>
      </c>
      <c r="C70">
        <v>1223346</v>
      </c>
      <c r="D70">
        <v>17185</v>
      </c>
      <c r="E70">
        <v>1162185</v>
      </c>
      <c r="F70">
        <v>1.47868024453938E-2</v>
      </c>
      <c r="G70">
        <v>7.1491416933372101</v>
      </c>
      <c r="H70">
        <v>4.7054591136523003</v>
      </c>
      <c r="I70">
        <v>10.736487690596</v>
      </c>
      <c r="J70">
        <v>1706.1014141396599</v>
      </c>
      <c r="K70">
        <v>62.181133987046302</v>
      </c>
    </row>
    <row r="71" spans="1:11" x14ac:dyDescent="0.25">
      <c r="A71" t="s">
        <v>83</v>
      </c>
      <c r="B71">
        <v>353930</v>
      </c>
      <c r="C71">
        <v>76063584</v>
      </c>
      <c r="D71">
        <v>92706</v>
      </c>
      <c r="E71">
        <v>72260413</v>
      </c>
      <c r="F71">
        <v>1.28294312405881E-3</v>
      </c>
      <c r="G71">
        <v>7.9856104243522497</v>
      </c>
      <c r="H71">
        <v>5.3435225868415603</v>
      </c>
      <c r="I71">
        <v>12.465951183523201</v>
      </c>
      <c r="J71">
        <v>5657.50870321812</v>
      </c>
      <c r="K71">
        <v>26.1933150623004</v>
      </c>
    </row>
    <row r="72" spans="1:11" x14ac:dyDescent="0.25">
      <c r="A72" t="s">
        <v>84</v>
      </c>
      <c r="B72">
        <v>235818</v>
      </c>
      <c r="C72">
        <v>148630555</v>
      </c>
      <c r="D72">
        <v>30145</v>
      </c>
      <c r="E72">
        <v>141199256</v>
      </c>
      <c r="F72">
        <v>2.13492626335084E-4</v>
      </c>
      <c r="G72">
        <v>7.5537900149278396</v>
      </c>
      <c r="H72">
        <v>4.6016139348496203</v>
      </c>
      <c r="I72">
        <v>10.234937580704401</v>
      </c>
      <c r="J72">
        <v>1205.1003582027499</v>
      </c>
      <c r="K72">
        <v>12.783163286941599</v>
      </c>
    </row>
    <row r="73" spans="1:11" x14ac:dyDescent="0.25">
      <c r="A73" t="s">
        <v>85</v>
      </c>
      <c r="B73">
        <v>6404</v>
      </c>
      <c r="C73">
        <v>415244</v>
      </c>
      <c r="D73">
        <v>3425</v>
      </c>
      <c r="E73">
        <v>394491</v>
      </c>
      <c r="F73">
        <v>8.6820738622680801E-3</v>
      </c>
      <c r="G73">
        <v>6.2122627737226201</v>
      </c>
      <c r="H73">
        <v>4.2559957007891098</v>
      </c>
      <c r="I73">
        <v>8.8038396264905305</v>
      </c>
      <c r="J73">
        <v>446.909724321071</v>
      </c>
      <c r="K73">
        <v>53.4821986258588</v>
      </c>
    </row>
    <row r="74" spans="1:11" x14ac:dyDescent="0.25">
      <c r="A74" t="s">
        <v>86</v>
      </c>
      <c r="B74">
        <v>129170</v>
      </c>
      <c r="C74">
        <v>568625</v>
      </c>
      <c r="D74">
        <v>100739</v>
      </c>
      <c r="E74">
        <v>540194</v>
      </c>
      <c r="F74">
        <v>0.18648670662761799</v>
      </c>
      <c r="G74">
        <v>9.4230238537210003</v>
      </c>
      <c r="H74">
        <v>7.5233878939788301</v>
      </c>
      <c r="I74">
        <v>13.773590711135901</v>
      </c>
      <c r="J74">
        <v>14004.3821118584</v>
      </c>
      <c r="K74">
        <v>77.989471239451802</v>
      </c>
    </row>
  </sheetData>
  <autoFilter ref="A1:K1" xr:uid="{55C57250-107B-478B-9476-596E9E6886CF}"/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571F7-D14F-4779-B45E-062653A570E5}">
  <dimension ref="A1"/>
  <sheetViews>
    <sheetView workbookViewId="0"/>
  </sheetViews>
  <sheetFormatPr defaultRowHeight="15" x14ac:dyDescent="0.25"/>
  <sheetData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3</vt:i4>
      </vt:variant>
    </vt:vector>
  </HeadingPairs>
  <TitlesOfParts>
    <vt:vector size="3" baseType="lpstr">
      <vt:lpstr>List1</vt:lpstr>
      <vt:lpstr>result</vt:lpstr>
      <vt:lpstr>List3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Antonín Forst</dc:creator>
  <cp:lastModifiedBy>Antonín Forst</cp:lastModifiedBy>
  <dcterms:created xsi:type="dcterms:W3CDTF">2026-03-24T09:53:03Z</dcterms:created>
  <dcterms:modified xsi:type="dcterms:W3CDTF">2026-03-24T15:23:02Z</dcterms:modified>
</cp:coreProperties>
</file>